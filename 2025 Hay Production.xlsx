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trustees.sharepoint.com/sites/FarmTeam/Shared Documents/Agroecology Initiative/Monitoring/Production/Data/spreadsheets/2023/"/>
    </mc:Choice>
  </mc:AlternateContent>
  <xr:revisionPtr revIDLastSave="3621" documentId="11_E60897F41BE170836B02CE998F75CCDC64E183C8" xr6:coauthVersionLast="47" xr6:coauthVersionMax="47" xr10:uidLastSave="{AD91A66D-C926-4651-8F61-A447BB621FE1}"/>
  <bookViews>
    <workbookView xWindow="240" yWindow="760" windowWidth="27980" windowHeight="16460" xr2:uid="{00000000-000D-0000-FFFF-FFFF00000000}"/>
  </bookViews>
  <sheets>
    <sheet name="Hay 2025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8" l="1"/>
  <c r="G31" i="8"/>
  <c r="F28" i="8"/>
  <c r="F4" i="8"/>
  <c r="F6" i="8"/>
  <c r="F8" i="8"/>
  <c r="F10" i="8"/>
  <c r="F2" i="8"/>
  <c r="F15" i="8"/>
  <c r="F7" i="8"/>
  <c r="F12" i="8"/>
  <c r="F16" i="8"/>
  <c r="F26" i="8"/>
  <c r="F24" i="8"/>
  <c r="F13" i="8"/>
  <c r="F3" i="8"/>
  <c r="F14" i="8"/>
  <c r="F9" i="8"/>
  <c r="F11" i="8"/>
  <c r="F25" i="8"/>
  <c r="F23" i="8"/>
  <c r="F27" i="8"/>
  <c r="F5" i="8"/>
  <c r="F22" i="8"/>
  <c r="F17" i="8"/>
  <c r="F19" i="8"/>
</calcChain>
</file>

<file path=xl/sharedStrings.xml><?xml version="1.0" encoding="utf-8"?>
<sst xmlns="http://schemas.openxmlformats.org/spreadsheetml/2006/main" count="107" uniqueCount="51">
  <si>
    <t>Field_name</t>
  </si>
  <si>
    <t>Total Acres</t>
  </si>
  <si>
    <t>cut type</t>
  </si>
  <si>
    <t>Cut date</t>
  </si>
  <si>
    <t>Acres hayed</t>
  </si>
  <si>
    <t>Acres not hayed</t>
  </si>
  <si>
    <t xml:space="preserve"> Round bales</t>
  </si>
  <si>
    <t>small rounds</t>
  </si>
  <si>
    <t>Square bales</t>
  </si>
  <si>
    <t>sample taken</t>
  </si>
  <si>
    <t>notes</t>
  </si>
  <si>
    <t>Briar</t>
  </si>
  <si>
    <t>first</t>
  </si>
  <si>
    <t>y</t>
  </si>
  <si>
    <t>left a bird refuge, then grazed after</t>
  </si>
  <si>
    <t>Broad Meadow 1A</t>
  </si>
  <si>
    <t>delayed</t>
  </si>
  <si>
    <t>part wet</t>
  </si>
  <si>
    <t>Broad Meadows CSA</t>
  </si>
  <si>
    <t>Jimmy's</t>
  </si>
  <si>
    <t>second</t>
  </si>
  <si>
    <t>Lamson Field Middle</t>
  </si>
  <si>
    <t>delayed for bird refuge</t>
  </si>
  <si>
    <t>Lamson North</t>
  </si>
  <si>
    <t>n</t>
  </si>
  <si>
    <t>Leos</t>
  </si>
  <si>
    <t>?</t>
  </si>
  <si>
    <t>may have sampled together if they wre put together? left to stockpile after</t>
  </si>
  <si>
    <t>Lower Sunset</t>
  </si>
  <si>
    <t>part wet, then grazed</t>
  </si>
  <si>
    <t>Plains</t>
  </si>
  <si>
    <t>inconsistent bales</t>
  </si>
  <si>
    <t>stockpiled after second cut</t>
  </si>
  <si>
    <t>Playground</t>
  </si>
  <si>
    <t>mown first round not hayed, then stockpiled</t>
  </si>
  <si>
    <t>POW East</t>
  </si>
  <si>
    <t>Triangle Upper</t>
  </si>
  <si>
    <t>grazed after</t>
  </si>
  <si>
    <t>Underhill Veg Perimeter</t>
  </si>
  <si>
    <t>Underhill Wet</t>
  </si>
  <si>
    <t>Leahs</t>
  </si>
  <si>
    <t>Williams 1A</t>
  </si>
  <si>
    <t>part wet: estimated acres mowed</t>
  </si>
  <si>
    <t>Williams West</t>
  </si>
  <si>
    <t>bird refuge/wet</t>
  </si>
  <si>
    <t>delayed + second</t>
  </si>
  <si>
    <t>wet area plus dry again, then allowed to rest for graze</t>
  </si>
  <si>
    <t>Wilson's</t>
  </si>
  <si>
    <t>part wet: estimated acres mowed, grazed after</t>
  </si>
  <si>
    <t>the wet area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</si>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</sst>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565656"/>
      <name val="Nuni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0" fillId="2" borderId="0" xfId="0" applyFill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wrapText="1"/>
    </xf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C812-3861-47AB-8E3C-5475935FF2EA}">
  <dimension ref="A1:P31"/>
  <sheetViews>
    <sheetView tabSelected="1" workbookViewId="0">
      <pane ySplit="1" topLeftCell="A2" activePane="bottomLeft" state="frozen"/>
      <selection pane="bottomLeft" activeCell="E20" sqref="E20"/>
    </sheetView>
  </sheetViews>
  <sheetFormatPr defaultColWidth="9.140625" defaultRowHeight="15"/>
  <cols>
    <col min="1" max="1" width="24.140625" customWidth="1"/>
    <col min="2" max="2" width="5.7109375" customWidth="1"/>
    <col min="4" max="4" width="11" style="1" customWidth="1"/>
    <col min="5" max="5" width="7.140625" customWidth="1"/>
    <col min="6" max="6" width="6.5703125" customWidth="1"/>
    <col min="7" max="7" width="9.140625" style="3" customWidth="1"/>
    <col min="8" max="8" width="7.28515625" customWidth="1"/>
    <col min="9" max="9" width="7.140625" customWidth="1"/>
    <col min="10" max="10" width="8.42578125" customWidth="1"/>
    <col min="11" max="11" width="14.5703125" customWidth="1"/>
  </cols>
  <sheetData>
    <row r="1" spans="1:16" ht="45.7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</row>
    <row r="2" spans="1:16" ht="18.75">
      <c r="A2" s="2" t="s">
        <v>11</v>
      </c>
      <c r="B2" s="7">
        <v>8</v>
      </c>
      <c r="C2" s="7" t="s">
        <v>12</v>
      </c>
      <c r="D2" s="1">
        <v>45819</v>
      </c>
      <c r="E2" s="2">
        <v>7</v>
      </c>
      <c r="F2">
        <f>B2-E2</f>
        <v>1</v>
      </c>
      <c r="G2" s="10">
        <v>7</v>
      </c>
      <c r="I2" s="2"/>
      <c r="J2" s="2" t="s">
        <v>13</v>
      </c>
      <c r="K2" t="s">
        <v>14</v>
      </c>
    </row>
    <row r="3" spans="1:16" ht="18.75">
      <c r="A3" t="s">
        <v>15</v>
      </c>
      <c r="B3" s="7">
        <v>2</v>
      </c>
      <c r="C3" s="7" t="s">
        <v>16</v>
      </c>
      <c r="D3" s="1">
        <v>45875</v>
      </c>
      <c r="E3">
        <v>2</v>
      </c>
      <c r="F3">
        <f>B3-E3</f>
        <v>0</v>
      </c>
      <c r="G3" s="8">
        <v>9</v>
      </c>
      <c r="H3">
        <v>1</v>
      </c>
      <c r="J3" t="s">
        <v>13</v>
      </c>
      <c r="K3" t="s">
        <v>17</v>
      </c>
    </row>
    <row r="4" spans="1:16" ht="18.75">
      <c r="A4" t="s">
        <v>18</v>
      </c>
      <c r="B4" s="7">
        <v>2</v>
      </c>
      <c r="C4" s="7" t="s">
        <v>16</v>
      </c>
      <c r="D4" s="1">
        <v>45888</v>
      </c>
      <c r="E4">
        <v>2</v>
      </c>
      <c r="F4">
        <f>B4-E4</f>
        <v>0</v>
      </c>
      <c r="G4" s="9">
        <v>5</v>
      </c>
      <c r="H4">
        <v>1</v>
      </c>
      <c r="J4" t="s">
        <v>13</v>
      </c>
    </row>
    <row r="5" spans="1:16" s="2" customFormat="1" ht="18.75">
      <c r="A5" t="s">
        <v>19</v>
      </c>
      <c r="B5" s="7">
        <v>3</v>
      </c>
      <c r="C5" s="7" t="s">
        <v>12</v>
      </c>
      <c r="D5" s="1">
        <v>45831</v>
      </c>
      <c r="E5">
        <v>3</v>
      </c>
      <c r="F5">
        <f>B5-E5</f>
        <v>0</v>
      </c>
      <c r="G5" s="9">
        <v>3</v>
      </c>
      <c r="H5"/>
      <c r="I5"/>
      <c r="J5" t="s">
        <v>13</v>
      </c>
      <c r="K5"/>
      <c r="L5"/>
      <c r="M5"/>
      <c r="N5"/>
      <c r="O5"/>
      <c r="P5"/>
    </row>
    <row r="6" spans="1:16" ht="18.75">
      <c r="A6" t="s">
        <v>19</v>
      </c>
      <c r="B6" s="7">
        <v>3</v>
      </c>
      <c r="C6" s="7" t="s">
        <v>20</v>
      </c>
      <c r="D6" s="11"/>
      <c r="E6">
        <v>3</v>
      </c>
      <c r="F6">
        <f>B6-E6</f>
        <v>0</v>
      </c>
      <c r="G6" s="9">
        <v>6</v>
      </c>
      <c r="H6">
        <v>1</v>
      </c>
      <c r="J6" t="s">
        <v>13</v>
      </c>
    </row>
    <row r="7" spans="1:16" ht="18.75">
      <c r="A7" t="s">
        <v>21</v>
      </c>
      <c r="B7" s="7">
        <v>10</v>
      </c>
      <c r="C7" s="7" t="s">
        <v>16</v>
      </c>
      <c r="D7" s="1">
        <v>45853</v>
      </c>
      <c r="E7">
        <v>10</v>
      </c>
      <c r="F7">
        <f>B7-E7</f>
        <v>0</v>
      </c>
      <c r="G7" s="9">
        <v>13</v>
      </c>
      <c r="H7">
        <v>34</v>
      </c>
      <c r="J7" t="s">
        <v>13</v>
      </c>
      <c r="K7" t="s">
        <v>22</v>
      </c>
    </row>
    <row r="8" spans="1:16" ht="18.75">
      <c r="A8" t="s">
        <v>21</v>
      </c>
      <c r="B8" s="7">
        <v>10</v>
      </c>
      <c r="C8" s="7" t="s">
        <v>20</v>
      </c>
      <c r="D8" s="1">
        <v>45934</v>
      </c>
      <c r="E8">
        <v>10</v>
      </c>
      <c r="F8">
        <f>B8-E8</f>
        <v>0</v>
      </c>
      <c r="G8" s="9">
        <v>2</v>
      </c>
      <c r="H8">
        <v>1</v>
      </c>
      <c r="J8" t="s">
        <v>13</v>
      </c>
    </row>
    <row r="9" spans="1:16" ht="18.75">
      <c r="A9" t="s">
        <v>23</v>
      </c>
      <c r="B9" s="7">
        <v>6</v>
      </c>
      <c r="C9" s="7" t="s">
        <v>12</v>
      </c>
      <c r="D9" s="1">
        <v>45811</v>
      </c>
      <c r="E9">
        <v>6</v>
      </c>
      <c r="F9">
        <f>B9-E9</f>
        <v>0</v>
      </c>
      <c r="G9" s="9">
        <v>8</v>
      </c>
      <c r="J9" t="s">
        <v>13</v>
      </c>
    </row>
    <row r="10" spans="1:16" ht="18.75">
      <c r="A10" t="s">
        <v>23</v>
      </c>
      <c r="B10" s="7">
        <v>6</v>
      </c>
      <c r="C10" s="7" t="s">
        <v>20</v>
      </c>
      <c r="D10" s="1">
        <v>45880</v>
      </c>
      <c r="E10">
        <v>6</v>
      </c>
      <c r="F10">
        <f>B10-E10</f>
        <v>0</v>
      </c>
      <c r="G10" s="9"/>
      <c r="I10">
        <v>20</v>
      </c>
      <c r="J10" t="s">
        <v>24</v>
      </c>
    </row>
    <row r="11" spans="1:16" ht="16.5" customHeight="1">
      <c r="A11" t="s">
        <v>25</v>
      </c>
      <c r="B11" s="7">
        <v>7</v>
      </c>
      <c r="C11" s="7" t="s">
        <v>12</v>
      </c>
      <c r="D11" s="1">
        <v>45811</v>
      </c>
      <c r="E11">
        <v>7</v>
      </c>
      <c r="F11">
        <f>B11-E11</f>
        <v>0</v>
      </c>
      <c r="G11" s="9">
        <v>10</v>
      </c>
      <c r="J11" t="s">
        <v>13</v>
      </c>
    </row>
    <row r="12" spans="1:16" ht="18.75">
      <c r="A12" t="s">
        <v>25</v>
      </c>
      <c r="B12" s="7">
        <v>7</v>
      </c>
      <c r="C12" s="7" t="s">
        <v>20</v>
      </c>
      <c r="D12" s="1">
        <v>45866</v>
      </c>
      <c r="E12">
        <v>7</v>
      </c>
      <c r="F12">
        <f>B12-E12</f>
        <v>0</v>
      </c>
      <c r="G12" s="9">
        <v>3</v>
      </c>
      <c r="J12" s="4" t="s">
        <v>26</v>
      </c>
      <c r="K12" t="s">
        <v>27</v>
      </c>
    </row>
    <row r="13" spans="1:16" ht="18.75">
      <c r="A13" t="s">
        <v>28</v>
      </c>
      <c r="B13" s="7">
        <v>6</v>
      </c>
      <c r="C13" s="7" t="s">
        <v>16</v>
      </c>
      <c r="D13" s="1">
        <v>45866</v>
      </c>
      <c r="E13">
        <v>6</v>
      </c>
      <c r="F13">
        <f>B13-E13</f>
        <v>0</v>
      </c>
      <c r="G13" s="8">
        <v>24.5</v>
      </c>
      <c r="J13" t="s">
        <v>13</v>
      </c>
      <c r="K13" t="s">
        <v>29</v>
      </c>
    </row>
    <row r="14" spans="1:16" ht="18.75">
      <c r="A14" t="s">
        <v>30</v>
      </c>
      <c r="B14" s="7">
        <v>22</v>
      </c>
      <c r="C14" s="7" t="s">
        <v>12</v>
      </c>
      <c r="D14" s="5">
        <v>45813</v>
      </c>
      <c r="E14">
        <v>22</v>
      </c>
      <c r="F14">
        <f>B14-E14</f>
        <v>0</v>
      </c>
      <c r="G14" s="9">
        <v>51</v>
      </c>
      <c r="J14" t="s">
        <v>13</v>
      </c>
      <c r="K14" t="s">
        <v>31</v>
      </c>
    </row>
    <row r="15" spans="1:16" ht="18.75">
      <c r="A15" t="s">
        <v>30</v>
      </c>
      <c r="B15" s="7">
        <v>22</v>
      </c>
      <c r="C15" s="7" t="s">
        <v>20</v>
      </c>
      <c r="D15" s="5">
        <v>45863</v>
      </c>
      <c r="E15">
        <v>22</v>
      </c>
      <c r="F15">
        <f>B15-E15</f>
        <v>0</v>
      </c>
      <c r="G15" s="9">
        <v>20</v>
      </c>
      <c r="I15" s="4"/>
      <c r="J15" t="s">
        <v>13</v>
      </c>
      <c r="K15" t="s">
        <v>32</v>
      </c>
    </row>
    <row r="16" spans="1:16" ht="18.75">
      <c r="A16" t="s">
        <v>33</v>
      </c>
      <c r="B16" s="7">
        <v>14</v>
      </c>
      <c r="C16" s="7" t="s">
        <v>20</v>
      </c>
      <c r="D16" s="1">
        <v>45852</v>
      </c>
      <c r="E16">
        <v>14</v>
      </c>
      <c r="F16">
        <f>B16-E16</f>
        <v>0</v>
      </c>
      <c r="G16" s="9">
        <v>35</v>
      </c>
      <c r="J16" t="s">
        <v>13</v>
      </c>
      <c r="K16" t="s">
        <v>34</v>
      </c>
    </row>
    <row r="17" spans="1:11" ht="18.75">
      <c r="A17" t="s">
        <v>35</v>
      </c>
      <c r="B17" s="7">
        <v>4</v>
      </c>
      <c r="C17" s="7" t="s">
        <v>12</v>
      </c>
      <c r="D17" s="1">
        <v>45831</v>
      </c>
      <c r="E17">
        <v>3.7</v>
      </c>
      <c r="F17">
        <f>B17-E17</f>
        <v>0.29999999999999982</v>
      </c>
      <c r="G17" s="9">
        <v>5</v>
      </c>
      <c r="J17" t="s">
        <v>13</v>
      </c>
    </row>
    <row r="18" spans="1:11" ht="18.75">
      <c r="A18" t="s">
        <v>35</v>
      </c>
      <c r="B18" s="7">
        <v>4</v>
      </c>
      <c r="C18" s="7" t="s">
        <v>20</v>
      </c>
      <c r="D18" s="1">
        <v>45929</v>
      </c>
      <c r="E18">
        <v>3.7</v>
      </c>
      <c r="G18" s="9"/>
      <c r="I18">
        <v>19</v>
      </c>
      <c r="J18" t="s">
        <v>24</v>
      </c>
    </row>
    <row r="19" spans="1:11" ht="18.75">
      <c r="A19" t="s">
        <v>36</v>
      </c>
      <c r="B19" s="7">
        <v>4</v>
      </c>
      <c r="C19" s="7" t="s">
        <v>12</v>
      </c>
      <c r="D19" s="1">
        <v>45803</v>
      </c>
      <c r="E19">
        <v>4</v>
      </c>
      <c r="F19">
        <f>B19-E19</f>
        <v>0</v>
      </c>
      <c r="G19" s="9">
        <v>5</v>
      </c>
      <c r="J19" t="s">
        <v>13</v>
      </c>
      <c r="K19" t="s">
        <v>37</v>
      </c>
    </row>
    <row r="20" spans="1:11" ht="18.75">
      <c r="A20" t="s">
        <v>38</v>
      </c>
      <c r="B20" s="7"/>
      <c r="C20" s="7" t="s">
        <v>12</v>
      </c>
      <c r="D20" s="1">
        <v>45875</v>
      </c>
      <c r="E20" s="4"/>
      <c r="G20" s="9">
        <v>7</v>
      </c>
      <c r="H20">
        <v>1</v>
      </c>
      <c r="J20" t="s">
        <v>13</v>
      </c>
    </row>
    <row r="21" spans="1:11" ht="18.75">
      <c r="A21" t="s">
        <v>39</v>
      </c>
      <c r="B21" s="7"/>
      <c r="C21" s="7" t="s">
        <v>16</v>
      </c>
      <c r="D21" s="1">
        <v>45875</v>
      </c>
      <c r="E21">
        <v>8</v>
      </c>
      <c r="G21" s="9">
        <v>24</v>
      </c>
      <c r="H21">
        <v>1</v>
      </c>
      <c r="J21" t="s">
        <v>13</v>
      </c>
    </row>
    <row r="22" spans="1:11" ht="18.75">
      <c r="A22" t="s">
        <v>40</v>
      </c>
      <c r="B22" s="7">
        <v>2</v>
      </c>
      <c r="C22" s="7" t="s">
        <v>12</v>
      </c>
      <c r="D22" s="1">
        <v>45831</v>
      </c>
      <c r="E22">
        <v>2</v>
      </c>
      <c r="F22">
        <f>B22-E22</f>
        <v>0</v>
      </c>
      <c r="G22" s="9">
        <v>2</v>
      </c>
      <c r="J22" t="s">
        <v>13</v>
      </c>
    </row>
    <row r="23" spans="1:11" ht="18.75">
      <c r="A23" t="s">
        <v>41</v>
      </c>
      <c r="B23" s="7">
        <v>5</v>
      </c>
      <c r="C23" s="7" t="s">
        <v>12</v>
      </c>
      <c r="D23" s="1">
        <v>45817</v>
      </c>
      <c r="E23">
        <v>3</v>
      </c>
      <c r="F23">
        <f>B23-E23</f>
        <v>2</v>
      </c>
      <c r="G23" s="8">
        <v>2.5</v>
      </c>
      <c r="J23" t="s">
        <v>13</v>
      </c>
      <c r="K23" t="s">
        <v>42</v>
      </c>
    </row>
    <row r="24" spans="1:11" ht="18.75">
      <c r="A24" t="s">
        <v>41</v>
      </c>
      <c r="B24" s="7">
        <v>5</v>
      </c>
      <c r="C24" s="7" t="s">
        <v>20</v>
      </c>
      <c r="D24" s="1">
        <v>45902</v>
      </c>
      <c r="E24">
        <v>5</v>
      </c>
      <c r="F24">
        <f>B24-E24</f>
        <v>0</v>
      </c>
      <c r="G24" s="9">
        <v>3</v>
      </c>
      <c r="H24">
        <v>1</v>
      </c>
      <c r="J24" s="4" t="s">
        <v>26</v>
      </c>
    </row>
    <row r="25" spans="1:11" ht="18.75">
      <c r="A25" t="s">
        <v>43</v>
      </c>
      <c r="B25" s="7">
        <v>7</v>
      </c>
      <c r="C25" s="7" t="s">
        <v>12</v>
      </c>
      <c r="D25" s="1">
        <v>45819</v>
      </c>
      <c r="E25">
        <v>5</v>
      </c>
      <c r="F25">
        <f>B25-E25</f>
        <v>2</v>
      </c>
      <c r="G25" s="9">
        <v>8</v>
      </c>
      <c r="J25" t="s">
        <v>13</v>
      </c>
      <c r="K25" t="s">
        <v>44</v>
      </c>
    </row>
    <row r="26" spans="1:11" ht="51.75">
      <c r="A26" t="s">
        <v>43</v>
      </c>
      <c r="B26" s="7">
        <v>7</v>
      </c>
      <c r="C26" s="7" t="s">
        <v>45</v>
      </c>
      <c r="D26" s="1">
        <v>45872</v>
      </c>
      <c r="E26">
        <v>7</v>
      </c>
      <c r="F26">
        <f>B26-E26</f>
        <v>0</v>
      </c>
      <c r="G26" s="8">
        <v>17.5</v>
      </c>
      <c r="I26">
        <v>70</v>
      </c>
      <c r="J26" t="s">
        <v>13</v>
      </c>
      <c r="K26" t="s">
        <v>46</v>
      </c>
    </row>
    <row r="27" spans="1:11" ht="18.75">
      <c r="A27" t="s">
        <v>47</v>
      </c>
      <c r="B27" s="7">
        <v>8</v>
      </c>
      <c r="C27" s="7" t="s">
        <v>12</v>
      </c>
      <c r="D27" s="1">
        <v>45820</v>
      </c>
      <c r="E27">
        <v>5</v>
      </c>
      <c r="F27">
        <f>B27-E27</f>
        <v>3</v>
      </c>
      <c r="G27" s="9">
        <v>7</v>
      </c>
      <c r="J27" t="s">
        <v>13</v>
      </c>
      <c r="K27" t="s">
        <v>48</v>
      </c>
    </row>
    <row r="28" spans="1:11">
      <c r="A28" t="s">
        <v>47</v>
      </c>
      <c r="B28">
        <v>8</v>
      </c>
      <c r="C28" t="s">
        <v>16</v>
      </c>
      <c r="D28" s="1">
        <v>45888</v>
      </c>
      <c r="E28">
        <v>3</v>
      </c>
      <c r="F28">
        <f>B28-E28</f>
        <v>5</v>
      </c>
      <c r="G28" s="9">
        <v>9</v>
      </c>
      <c r="J28" t="s">
        <v>13</v>
      </c>
      <c r="K28" t="s">
        <v>49</v>
      </c>
    </row>
    <row r="31" spans="1:11">
      <c r="F31" t="s">
        <v>50</v>
      </c>
      <c r="G31" s="3">
        <f>SUM(G2:G28)+SUM(H2:H28)/2</f>
        <v>307</v>
      </c>
      <c r="I31">
        <f>SUM(I3:I28)*55/750</f>
        <v>7.9933333333333332</v>
      </c>
    </row>
  </sheetData>
  <sortState xmlns:xlrd2="http://schemas.microsoft.com/office/spreadsheetml/2017/richdata2" ref="A2:XFC1048562">
    <sortCondition ref="A2:A10485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Props1.xml><?xml version="1.0" encoding="utf-8"?>
<ds:datastoreItem xmlns:ds="http://schemas.openxmlformats.org/officeDocument/2006/customXml" ds:itemID="{6706442D-5D49-45D1-9A83-D1EE6E651A25}"/>
</file>

<file path=customXml/itemProps2.xml><?xml version="1.0" encoding="utf-8"?>
<ds:datastoreItem xmlns:ds="http://schemas.openxmlformats.org/officeDocument/2006/customXml" ds:itemID="{CEBFA475-086D-4B4C-94AE-EF3F739694F3}"/>
</file>

<file path=customXml/itemProps3.xml><?xml version="1.0" encoding="utf-8"?>
<ds:datastoreItem xmlns:ds="http://schemas.openxmlformats.org/officeDocument/2006/customXml" ds:itemID="{BA6EE158-E5F9-44FE-AC73-C517CF043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2023-07-23T12:50:03Z</dcterms:created>
  <dcterms:modified xsi:type="dcterms:W3CDTF">2025-12-09T21:13:58Z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  <property fmtid="{D5CDD505-2E9C-101B-9397-08002B2CF9AE}" pid="9" name="MSIP_Label_78659764-63c8-4f90-b8bb-57eab7b46db6_Enabled">
    <vt:lpwstr>true</vt:lpwstr>
  </property>
  <property fmtid="{D5CDD505-2E9C-101B-9397-08002B2CF9AE}" pid="10" name="MSIP_Label_78659764-63c8-4f90-b8bb-57eab7b46db6_SetDate">
    <vt:lpwstr>2024-01-12T17:45:43Z</vt:lpwstr>
  </property>
  <property fmtid="{D5CDD505-2E9C-101B-9397-08002B2CF9AE}" pid="11" name="MSIP_Label_78659764-63c8-4f90-b8bb-57eab7b46db6_Method">
    <vt:lpwstr>Standard</vt:lpwstr>
  </property>
  <property fmtid="{D5CDD505-2E9C-101B-9397-08002B2CF9AE}" pid="12" name="MSIP_Label_78659764-63c8-4f90-b8bb-57eab7b46db6_Name">
    <vt:lpwstr>defa4170-0d19-0005-0004-bc88714345d2</vt:lpwstr>
  </property>
  <property fmtid="{D5CDD505-2E9C-101B-9397-08002B2CF9AE}" pid="13" name="MSIP_Label_78659764-63c8-4f90-b8bb-57eab7b46db6_SiteId">
    <vt:lpwstr>912a785a-67cc-420d-a3dc-e817f6ff7bfc</vt:lpwstr>
  </property>
  <property fmtid="{D5CDD505-2E9C-101B-9397-08002B2CF9AE}" pid="14" name="MSIP_Label_78659764-63c8-4f90-b8bb-57eab7b46db6_ActionId">
    <vt:lpwstr>1999d321-2ea0-4d73-95d3-356310cc0106</vt:lpwstr>
  </property>
  <property fmtid="{D5CDD505-2E9C-101B-9397-08002B2CF9AE}" pid="15" name="MSIP_Label_78659764-63c8-4f90-b8bb-57eab7b46db6_ContentBits">
    <vt:lpwstr>0</vt:lpwstr>
  </property>
</Properties>
</file>